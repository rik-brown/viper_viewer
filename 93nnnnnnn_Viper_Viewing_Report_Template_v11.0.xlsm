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625" codeName="{EAAD5824-E589-9196-6FC8-2F1B51211585}"/>
  <workbookPr filterPrivacy="1" codeName="ThisWorkbook"/>
  <bookViews>
    <workbookView xWindow="0" yWindow="0" windowWidth="7470" windowHeight="10155" xr2:uid="{00000000-000D-0000-FFFF-FFFF00000000}"/>
  </bookViews>
  <sheets>
    <sheet name="Report" sheetId="2" r:id="rId1"/>
    <sheet name="Issues" sheetId="4" r:id="rId2"/>
    <sheet name="Configuration" sheetId="3" r:id="rId3"/>
  </sheets>
  <functionGroups builtInGroupCount="19"/>
  <definedNames>
    <definedName name="ExternalData_1" localSheetId="0" hidden="1">Report!$A$2:$H$13</definedName>
    <definedName name="Slicer_Flag">#N/A</definedName>
    <definedName name="Slicer_Module">#N/A</definedName>
    <definedName name="Slicer_Reviewed">#N/A</definedName>
    <definedName name="Slicer_Severity">#N/A</definedName>
    <definedName name="Slicer_Viewer">#N/A</definedName>
  </definedNames>
  <calcPr calcId="171027"/>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4:slicerCache r:id="rId5"/>
        <x14:slicerCache r:id="rId6"/>
        <x14:slicerCache r:id="rId7"/>
        <x14:slicerCache r:id="rId8"/>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riggerDetails_b936daf1-dd2d-4572-95df-529c91712d4e" name="TriggerDetails" connection="Query - TriggerDetails"/>
        </x15:modelTables>
      </x15:dataModel>
    </ext>
  </extLst>
</workbook>
</file>

<file path=xl/calcChain.xml><?xml version="1.0" encoding="utf-8"?>
<calcChain xmlns="http://schemas.openxmlformats.org/spreadsheetml/2006/main">
  <c r="I3" i="2" l="1"/>
  <c r="I4" i="2"/>
  <c r="I5" i="2"/>
  <c r="I6" i="2"/>
  <c r="I7" i="2"/>
  <c r="I8" i="2"/>
  <c r="I9" i="2"/>
  <c r="I10" i="2"/>
  <c r="I11" i="2"/>
  <c r="I12" i="2"/>
  <c r="I13" i="2"/>
  <c r="J3" i="2"/>
  <c r="J4" i="2"/>
  <c r="J5" i="2"/>
  <c r="J6" i="2"/>
  <c r="J7" i="2"/>
  <c r="J8" i="2"/>
  <c r="J9" i="2"/>
  <c r="J10" i="2"/>
  <c r="J11" i="2"/>
  <c r="J12" i="2"/>
  <c r="J13" i="2"/>
  <c r="K3" i="2"/>
  <c r="K4" i="2"/>
  <c r="K5" i="2"/>
  <c r="K6" i="2"/>
  <c r="K7" i="2"/>
  <c r="K8" i="2"/>
  <c r="K9" i="2"/>
  <c r="K10" i="2"/>
  <c r="K11" i="2"/>
  <c r="K12" i="2"/>
  <c r="K13" i="2"/>
  <c r="A2" i="3"/>
  <c r="U1" i="2" l="1"/>
  <c r="E2" i="4" l="1"/>
  <c r="E3" i="4"/>
  <c r="E4" i="4"/>
  <c r="A13"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2" xr16:uid="{00000000-0015-0000-FFFF-FFFF01000000}" keepAlive="1" name="Query - Sample File Parameter1" description="Connection to the 'Sample File Parameter1' query in the workbook." type="5" refreshedVersion="0" background="1">
    <dbPr connection="Provider=Microsoft.Mashup.OleDb.1;Data Source=$Workbook$;Location=&quot;Sample File Parameter1&quot;;Extended Properties=&quot;&quot;" command="SELECT * FROM [Sample File Parameter1]"/>
  </connection>
  <connection id="3" xr16:uid="{00000000-0015-0000-FFFF-FFFF02000000}" keepAlive="1" name="Query - Transform File from example" description="Connection to the 'Transform File from example' query in the workbook." type="5" refreshedVersion="0" background="1">
    <dbPr connection="Provider=Microsoft.Mashup.OleDb.1;Data Source=$Workbook$;Location=&quot;Transform File from example&quot;;Extended Properties=&quot;&quot;" command="SELECT * FROM [Transform File from example]"/>
  </connection>
  <connection id="4" xr16:uid="{00000000-0015-0000-FFFF-FFFF03000000}" keepAlive="1" name="Query - Transform Sample File from example" description="Connection to the 'Transform Sample File from example' query in the workbook." type="5" refreshedVersion="0" background="1" saveData="1">
    <dbPr connection="Provider=Microsoft.Mashup.OleDb.1;Data Source=$Workbook$;Location=&quot;Transform Sample File from example&quot;;Extended Properties=&quot;&quot;" command="SELECT * FROM [Transform Sample File from example]"/>
  </connection>
  <connection id="5" xr16:uid="{00000000-0015-0000-FFFF-FFFF04000000}" odcFile="\\eunoask-sfi001\files\TECHNOLOGY\Verification\Test_Manager\Test Equipment\Viper\Viper_worklflow\query_file_exports\Query - TriggerDetails.odc" name="Query - TriggerDetails" description="Connection to the 'TriggerDetails' query in the workbook." type="100" refreshedVersion="6" minRefreshableVersion="5" saveData="1">
    <extLst>
      <ext xmlns:x15="http://schemas.microsoft.com/office/spreadsheetml/2010/11/main" uri="{DE250136-89BD-433C-8126-D09CA5730AF9}">
        <x15:connection id="5ba7de28-eafb-4515-b85e-850060880eed"/>
      </ext>
    </extLst>
  </connection>
  <connection id="6" xr16:uid="{00000000-0015-0000-FFFF-FFFF05000000}" keepAlive="1" name="Query - Triggers" description="Connection to the 'Triggers' query in the workbook." type="5" refreshedVersion="6" background="1" saveData="1">
    <dbPr connection="Provider=Microsoft.Mashup.OleDb.1;Data Source=$Workbook$;Location=Triggers;Extended Properties=&quot;&quot;" command="SELECT * FROM [Triggers]"/>
  </connection>
  <connection id="7" xr16:uid="{00000000-0015-0000-FFFF-FFFF06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<sst xmlns="http://schemas.openxmlformats.org/spreadsheetml/2006/main" count="149" uniqueCount="89">
  <si>
    <t>Folder Path</t>
  </si>
  <si>
    <t>timestamp_V</t>
  </si>
  <si>
    <t>filename</t>
  </si>
  <si>
    <t>easysort.t70.sorter.cleanup</t>
  </si>
  <si>
    <t>easysort.t70.softdrop.loweringLongTime</t>
  </si>
  <si>
    <t>TriggerID</t>
  </si>
  <si>
    <t>Video</t>
  </si>
  <si>
    <t>Log</t>
  </si>
  <si>
    <t>Severity</t>
  </si>
  <si>
    <t>Module</t>
  </si>
  <si>
    <t>Cause</t>
  </si>
  <si>
    <t>Measure</t>
  </si>
  <si>
    <t>softdrop</t>
  </si>
  <si>
    <t>SoftDrop topcell blocked too long</t>
  </si>
  <si>
    <t>sorter</t>
  </si>
  <si>
    <t>No description</t>
  </si>
  <si>
    <t>1st</t>
  </si>
  <si>
    <t>Viewer</t>
  </si>
  <si>
    <t>Viewer Notes</t>
  </si>
  <si>
    <t>Flag</t>
  </si>
  <si>
    <t>Reviewed</t>
  </si>
  <si>
    <t>Review Notes</t>
  </si>
  <si>
    <t>ID</t>
  </si>
  <si>
    <t>20180511_15-11-53</t>
  </si>
  <si>
    <t>20180511_15-11-53.336</t>
  </si>
  <si>
    <t>easysort.t70.sorter.ack.center.2</t>
  </si>
  <si>
    <t>20180511_15-54-32</t>
  </si>
  <si>
    <t>20180511_15-54-31.974</t>
  </si>
  <si>
    <t>easysort.t70.sorter.nak.right</t>
  </si>
  <si>
    <t>20180511_15-54-42.416</t>
  </si>
  <si>
    <t>easysort.t70.sorter.ack.right.1</t>
  </si>
  <si>
    <t>20180511_15-54-32.152</t>
  </si>
  <si>
    <t>easysort.t70.sorter.nak.right.2</t>
  </si>
  <si>
    <t>20180511_15-54-31.797</t>
  </si>
  <si>
    <t>20180511_15-54-39.992</t>
  </si>
  <si>
    <t>easysort.t70.sorter.ack.center.1</t>
  </si>
  <si>
    <t>20180511_15-58-58</t>
  </si>
  <si>
    <t>20180511_15-58-57.711</t>
  </si>
  <si>
    <t>20180511_16-20-20</t>
  </si>
  <si>
    <t>20180511_16-20-20.683</t>
  </si>
  <si>
    <t>20180511_16-25-29</t>
  </si>
  <si>
    <t>20180511_16-25-39.607</t>
  </si>
  <si>
    <t>20180511_16-25-28.237</t>
  </si>
  <si>
    <t>20180511_16-28-11</t>
  </si>
  <si>
    <t>20180511_16-28-10.417</t>
  </si>
  <si>
    <t>x</t>
  </si>
  <si>
    <t>Viper_Folder</t>
  </si>
  <si>
    <t>Trigger_Details_Folder</t>
  </si>
  <si>
    <t>\\eunoask-sfi001\files\TECHNOLOGY\Verification\Test_Manager\Test Equipment\Viper\Viper_worklflow\triggerdetails_template_18.03.0.xlsx</t>
  </si>
  <si>
    <r>
      <t xml:space="preserve">The value in cell </t>
    </r>
    <r>
      <rPr>
        <b/>
        <sz val="11"/>
        <color theme="1"/>
        <rFont val="Calibri"/>
        <family val="2"/>
        <scheme val="minor"/>
      </rPr>
      <t>A2</t>
    </r>
    <r>
      <rPr>
        <sz val="11"/>
        <color theme="1"/>
        <rFont val="Calibri"/>
        <family val="2"/>
        <scheme val="minor"/>
      </rPr>
      <t xml:space="preserve"> is used to find the viper videos &amp; logfiles. Paste in the path to the folder containing all the folders from a viper.</t>
    </r>
  </si>
  <si>
    <t>Tip: In Windows File Explorer, hold down the shift key &amp; right-click on the folder. Select "Copy as path"</t>
  </si>
  <si>
    <t>\\eunoask-sfi001\files\TECHNOLOGY\Verification\Test_Manager\Test Equipment\Viper\Viper_worklflow\Sample_data</t>
  </si>
  <si>
    <t>Remember to remove the " characters at the start and end of the path. It should look something like this:</t>
  </si>
  <si>
    <t>Tip: You should be able to paste the same text into the address bar of Internet Explorer &amp; it will open the folder. If it doesn't work, excel will probably also struggle.</t>
  </si>
  <si>
    <r>
      <t xml:space="preserve">Copy the formula in the cell below into cell </t>
    </r>
    <r>
      <rPr>
        <b/>
        <sz val="11"/>
        <color theme="1"/>
        <rFont val="Calibri"/>
        <family val="2"/>
        <scheme val="minor"/>
      </rPr>
      <t>A2</t>
    </r>
    <r>
      <rPr>
        <sz val="11"/>
        <color theme="1"/>
        <rFont val="Calibri"/>
        <family val="2"/>
        <scheme val="minor"/>
      </rPr>
      <t xml:space="preserve"> to make the document 'auto-detect' the path to the same folder as the excel document</t>
    </r>
  </si>
  <si>
    <t>The formula looks like this (don't copy the cell below as it includes a ' symbol in front of the '=' symbol !)</t>
  </si>
  <si>
    <t>=LEFT(CELL("filename"); FIND("["; CELL("filename");1)-1) &amp; "Sample_data"</t>
  </si>
  <si>
    <t>Instructions for manually-defined path:</t>
  </si>
  <si>
    <t>Instructions for 'auto-detected path'</t>
  </si>
  <si>
    <t>The text "Sample_data" is added at the end of the path - useful if you need to specify a subfolder with a given name</t>
  </si>
  <si>
    <t>If you want to remove this, delete everything after the last ')' or everything between the " " characters (don't leave a space)</t>
  </si>
  <si>
    <r>
      <t xml:space="preserve">The value in cell </t>
    </r>
    <r>
      <rPr>
        <b/>
        <sz val="11"/>
        <color theme="1"/>
        <rFont val="Calibri"/>
        <family val="2"/>
        <scheme val="minor"/>
      </rPr>
      <t>A22</t>
    </r>
    <r>
      <rPr>
        <sz val="11"/>
        <color theme="1"/>
        <rFont val="Calibri"/>
        <family val="2"/>
        <scheme val="minor"/>
      </rPr>
      <t xml:space="preserve"> is used to find the "trigger details" file which adds explanatory texts &amp; categories for the different trigger codes.</t>
    </r>
  </si>
  <si>
    <t>Paste in the path to the file itself (not the folder where it is located)</t>
  </si>
  <si>
    <t>See the tips above.</t>
  </si>
  <si>
    <t>Description</t>
  </si>
  <si>
    <t>JIRA</t>
  </si>
  <si>
    <t>JIRA URL</t>
  </si>
  <si>
    <t xml:space="preserve">1,5L OWPET bottle stops on side-guide </t>
  </si>
  <si>
    <t>ATS-123</t>
  </si>
  <si>
    <t>Issue ID</t>
  </si>
  <si>
    <t>Issue Description</t>
  </si>
  <si>
    <t>Sorter transport is not running</t>
  </si>
  <si>
    <t>Sorter1</t>
  </si>
  <si>
    <t>SoftDrop canvas is not going down</t>
  </si>
  <si>
    <t>SoftDrop</t>
  </si>
  <si>
    <t>ATS-150</t>
  </si>
  <si>
    <t>ATS-153</t>
  </si>
  <si>
    <t>Newest issue:</t>
  </si>
  <si>
    <t>Fixed_in_Market</t>
  </si>
  <si>
    <t>\\eunoask-sfi001\files\TECHNOLOGY\Verification\Test_Manager\Test Equipment\Viper\Viper_worklflow\Sample_data\20180511_15-11-53\</t>
  </si>
  <si>
    <t>\\eunoask-sfi001\files\TECHNOLOGY\Verification\Test_Manager\Test Equipment\Viper\Viper_worklflow\Sample_data\20180511_15-54-32\</t>
  </si>
  <si>
    <t>\\eunoask-sfi001\files\TECHNOLOGY\Verification\Test_Manager\Test Equipment\Viper\Viper_worklflow\Sample_data\20180511_15-58-58\</t>
  </si>
  <si>
    <t>\\eunoask-sfi001\files\TECHNOLOGY\Verification\Test_Manager\Test Equipment\Viper\Viper_worklflow\Sample_data\20180511_16-20-20\</t>
  </si>
  <si>
    <t>\\eunoask-sfi001\files\TECHNOLOGY\Verification\Test_Manager\Test Equipment\Viper\Viper_worklflow\Sample_data\20180511_16-25-29\</t>
  </si>
  <si>
    <t>\\eunoask-sfi001\files\TECHNOLOGY\Verification\Test_Manager\Test Equipment\Viper\Viper_worklflow\Sample_data\20180511_16-28-11\</t>
  </si>
  <si>
    <t>Fixed</t>
  </si>
  <si>
    <t>No</t>
  </si>
  <si>
    <t>Richard Brown</t>
  </si>
  <si>
    <t>DHddJCSJDVCJSIFCV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</si>
</sst>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u/>
      <sz val="11"/>
      <color theme="10"/>
      <name val="Calibri"/>
      <family val="2"/>
      <scheme val="minor"/>
    </font>
    <font>
      <b/>
      <sz val="11"/>
      <color theme="1"/>
      <name val="Calibri"/>
      <family val="2"/>
      <scheme val="minor"/>
    </font>
    <font>
      <sz val="11"/>
      <color theme="1"/>
      <name val="Courier New"/>
      <family val="3"/>
    </font>
    <font>
      <b/>
      <u/>
      <sz val="11"/>
      <color theme="1"/>
      <name val="Calibri"/>
      <family val="2"/>
      <scheme val="minor"/>
    </font>
    <font>
      <b/>
      <sz val="14"/>
      <color theme="1"/>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18">
    <xf numFmtId="0" fontId="0" fillId="0" borderId="0" xfId="0"/>
    <xf numFmtId="0" fontId="0" fillId="0" borderId="0" xfId="0" applyProtection="1">
      <protection locked="0"/>
    </xf>
    <xf numFmtId="0" fontId="0" fillId="0" borderId="0" xfId="0" applyAlignment="1">
      <alignment horizontal="center"/>
    </xf>
    <xf numFmtId="0" fontId="0" fillId="0" borderId="0" xfId="0" applyAlignment="1" applyProtection="1">
      <alignment horizontal="center"/>
      <protection locked="0"/>
    </xf>
    <xf numFmtId="0" fontId="0" fillId="0" borderId="0" xfId="0" applyNumberFormat="1" applyAlignment="1" applyProtection="1">
      <alignment vertical="top"/>
      <protection locked="0"/>
    </xf>
    <xf numFmtId="0" fontId="1" fillId="0" borderId="0" xfId="1" applyNumberFormat="1" applyAlignment="1">
      <alignment vertical="top"/>
    </xf>
    <xf numFmtId="0" fontId="0" fillId="0" borderId="0" xfId="0" applyNumberFormat="1" applyAlignment="1">
      <alignment vertical="top"/>
    </xf>
    <xf numFmtId="0" fontId="0" fillId="0" borderId="0" xfId="0" applyNumberFormat="1" applyAlignment="1" applyProtection="1">
      <alignment horizontal="center" vertical="top"/>
      <protection locked="0"/>
    </xf>
    <xf numFmtId="0" fontId="0" fillId="0" borderId="0" xfId="0" applyAlignment="1">
      <alignment horizontal="left"/>
    </xf>
    <xf numFmtId="0" fontId="1" fillId="0" borderId="0" xfId="1"/>
    <xf numFmtId="0" fontId="3" fillId="0" borderId="0" xfId="0" quotePrefix="1" applyFont="1"/>
    <xf numFmtId="0" fontId="4" fillId="0" borderId="0" xfId="0" applyFont="1"/>
    <xf numFmtId="0" fontId="0" fillId="2" borderId="0" xfId="0" applyFill="1" applyBorder="1"/>
    <xf numFmtId="0" fontId="3" fillId="0" borderId="0" xfId="0" applyFont="1"/>
    <xf numFmtId="0" fontId="5" fillId="0" borderId="0" xfId="0" applyFont="1" applyAlignment="1">
      <alignment vertical="top"/>
    </xf>
    <xf numFmtId="0" fontId="5" fillId="0" borderId="0" xfId="0" applyFont="1" applyAlignment="1">
      <alignment horizontal="left" vertical="top"/>
    </xf>
    <xf numFmtId="0" fontId="0" fillId="0" borderId="0" xfId="0" applyNumberFormat="1" applyAlignment="1" applyProtection="1">
      <alignment vertical="top"/>
    </xf>
    <xf numFmtId="0" fontId="1" fillId="0" borderId="0" xfId="1" applyNumberFormat="1" applyAlignment="1" applyProtection="1">
      <alignment vertical="top"/>
    </xf>
  </cellXfs>
  <cellStyles count="2">
    <cellStyle name="Hyperlink" xfId="1" builtinId="8"/>
    <cellStyle name="Normal" xfId="0" builtinId="0"/>
  </cellStyles>
  <dxfs count="34">
    <dxf>
      <numFmt numFmtId="0" formatCode="General"/>
    </dxf>
    <dxf>
      <numFmt numFmtId="0" formatCode="General"/>
      <alignment horizontal="general" vertical="top" textRotation="0" wrapText="0" indent="0" justifyLastLine="0" shrinkToFit="0" readingOrder="0"/>
      <protection locked="0" hidden="0"/>
    </dxf>
    <dxf>
      <numFmt numFmtId="0" formatCode="General"/>
      <alignment horizontal="center" vertical="top" textRotation="0" wrapText="0" indent="0" justifyLastLine="0" shrinkToFit="0" readingOrder="0"/>
      <protection locked="0" hidden="0"/>
    </dxf>
    <dxf>
      <numFmt numFmtId="0" formatCode="General"/>
      <alignment horizontal="center"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1" hidden="0"/>
    </dxf>
    <dxf>
      <numFmt numFmtId="0" formatCode="General"/>
      <alignment horizontal="general" vertical="top" textRotation="0" wrapText="0" indent="0" justifyLastLine="0" shrinkToFit="0" readingOrder="0"/>
      <protection locked="1" hidden="0"/>
    </dxf>
    <dxf>
      <numFmt numFmtId="0" formatCode="General"/>
      <alignment horizontal="center"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alignment vertical="top" textRotation="0" wrapText="0" indent="0" justifyLastLine="0" shrinkToFit="0" readingOrder="0"/>
    </dxf>
    <dxf>
      <fill>
        <patternFill>
          <bgColor theme="9" tint="0.39994506668294322"/>
        </patternFill>
      </fill>
    </dxf>
    <dxf>
      <border>
        <top style="thin">
          <color auto="1"/>
        </top>
        <vertical/>
        <horizontal/>
      </border>
    </dxf>
    <dxf>
      <fill>
        <patternFill>
          <bgColor theme="9" tint="0.39994506668294322"/>
        </patternFill>
      </fill>
    </dxf>
    <dxf>
      <border>
        <top style="thin">
          <color auto="1"/>
        </top>
        <vertical/>
        <horizontal/>
      </border>
    </dxf>
    <dxf>
      <fill>
        <patternFill>
          <bgColor theme="7" tint="0.59996337778862885"/>
        </patternFill>
      </fill>
    </dxf>
    <dxf>
      <fill>
        <patternFill>
          <bgColor theme="9" tint="0.39994506668294322"/>
        </patternFill>
      </fill>
    </dxf>
    <dxf>
      <border>
        <top style="thin">
          <color auto="1"/>
        </top>
        <vertical/>
        <horizontal/>
      </border>
    </dxf>
    <dxf>
      <fill>
        <patternFill>
          <bgColor theme="9" tint="0.59996337778862885"/>
        </patternFill>
      </fill>
    </dxf>
    <dxf>
      <fill>
        <patternFill>
          <bgColor theme="7" tint="0.59996337778862885"/>
        </patternFill>
      </fill>
    </dxf>
    <dxf>
      <fill>
        <patternFill>
          <bgColor theme="4" tint="0.59996337778862885"/>
        </patternFill>
      </fill>
    </dxf>
    <dxf>
      <font>
        <b/>
        <i val="0"/>
        <strike val="0"/>
      </font>
    </dxf>
    <dxf>
      <fill>
        <patternFill>
          <bgColor theme="9" tint="0.59996337778862885"/>
        </patternFill>
      </fill>
    </dxf>
    <dxf>
      <fill>
        <patternFill>
          <bgColor theme="7" tint="0.59996337778862885"/>
        </patternFill>
      </fill>
    </dxf>
    <dxf>
      <font>
        <b/>
        <i val="0"/>
        <strike val="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5.xml"/><Relationship Id="rId13" Type="http://schemas.openxmlformats.org/officeDocument/2006/relationships/powerPivotData" Target="model/item.data"/><Relationship Id="rId3" Type="http://schemas.openxmlformats.org/officeDocument/2006/relationships/worksheet" Target="worksheets/sheet3.xml"/><Relationship Id="rId7" Type="http://schemas.microsoft.com/office/2007/relationships/slicerCache" Target="slicerCaches/slicerCache4.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3.xml"/><Relationship Id="rId11" Type="http://schemas.openxmlformats.org/officeDocument/2006/relationships/styles" Target="styles.xml"/><Relationship Id="rId5" Type="http://schemas.microsoft.com/office/2007/relationships/slicerCache" Target="slicerCaches/slicerCache2.xml"/><Relationship Id="rId15" Type="http://schemas.openxmlformats.org/officeDocument/2006/relationships/customXml" Target="../customXml/item1.xml"/><Relationship Id="rId10" Type="http://schemas.openxmlformats.org/officeDocument/2006/relationships/connections" Target="connections.xml"/><Relationship Id="rId4" Type="http://schemas.microsoft.com/office/2007/relationships/slicerCache" Target="slicerCaches/slicerCache1.xml"/><Relationship Id="rId9" Type="http://schemas.openxmlformats.org/officeDocument/2006/relationships/theme" Target="theme/theme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3</xdr:col>
      <xdr:colOff>1409700</xdr:colOff>
      <xdr:row>0</xdr:row>
      <xdr:rowOff>0</xdr:rowOff>
    </xdr:from>
    <xdr:to>
      <xdr:col>7</xdr:col>
      <xdr:colOff>476250</xdr:colOff>
      <xdr:row>1</xdr:row>
      <xdr:rowOff>2550</xdr:rowOff>
    </xdr:to>
    <mc:AlternateContent xmlns:mc="http://schemas.openxmlformats.org/markup-compatibility/2006" xmlns:sle15="http://schemas.microsoft.com/office/drawing/2012/slicer">
      <mc:Choice Requires="sle15">
        <xdr:graphicFrame macro="">
          <xdr:nvGraphicFramePr>
            <xdr:cNvPr id="3" name="Modul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Module"/>
            </a:graphicData>
          </a:graphic>
        </xdr:graphicFrame>
      </mc:Choice>
      <mc:Fallback xmlns="">
        <xdr:sp macro="" textlink="">
          <xdr:nvSpPr>
            <xdr:cNvPr id="0" name=""/>
            <xdr:cNvSpPr>
              <a:spLocks noTextEdit="1"/>
            </xdr:cNvSpPr>
          </xdr:nvSpPr>
          <xdr:spPr>
            <a:xfrm>
              <a:off x="7400925" y="0"/>
              <a:ext cx="4438650" cy="936000"/>
            </a:xfrm>
            <a:prstGeom prst="rect">
              <a:avLst/>
            </a:prstGeom>
            <a:solidFill>
              <a:prstClr val="white"/>
            </a:solidFill>
            <a:ln w="1">
              <a:solidFill>
                <a:prstClr val="green"/>
              </a:solidFill>
            </a:ln>
          </xdr:spPr>
          <xdr:txBody>
            <a:bodyPr vertOverflow="clip" horzOverflow="clip"/>
            <a:lstStyle/>
            <a:p>
              <a:r>
                <a:rPr lang="nb-NO"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0</xdr:row>
      <xdr:rowOff>0</xdr:rowOff>
    </xdr:from>
    <xdr:to>
      <xdr:col>1</xdr:col>
      <xdr:colOff>2033100</xdr:colOff>
      <xdr:row>1</xdr:row>
      <xdr:rowOff>2550</xdr:rowOff>
    </xdr:to>
    <mc:AlternateContent xmlns:mc="http://schemas.openxmlformats.org/markup-compatibility/2006" xmlns:sle15="http://schemas.microsoft.com/office/drawing/2012/slicer">
      <mc:Choice Requires="sle15">
        <xdr:graphicFrame macro="">
          <xdr:nvGraphicFramePr>
            <xdr:cNvPr id="7" name="Severity">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Severity"/>
            </a:graphicData>
          </a:graphic>
        </xdr:graphicFrame>
      </mc:Choice>
      <mc:Fallback xmlns="">
        <xdr:sp macro="" textlink="">
          <xdr:nvSpPr>
            <xdr:cNvPr id="0" name=""/>
            <xdr:cNvSpPr>
              <a:spLocks noTextEdit="1"/>
            </xdr:cNvSpPr>
          </xdr:nvSpPr>
          <xdr:spPr>
            <a:xfrm>
              <a:off x="0" y="0"/>
              <a:ext cx="2376000" cy="936000"/>
            </a:xfrm>
            <a:prstGeom prst="rect">
              <a:avLst/>
            </a:prstGeom>
            <a:solidFill>
              <a:prstClr val="white"/>
            </a:solidFill>
            <a:ln w="1">
              <a:solidFill>
                <a:prstClr val="green"/>
              </a:solidFill>
            </a:ln>
          </xdr:spPr>
          <xdr:txBody>
            <a:bodyPr vertOverflow="clip" horzOverflow="clip"/>
            <a:lstStyle/>
            <a:p>
              <a:r>
                <a:rPr lang="nb-NO"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2057400</xdr:colOff>
      <xdr:row>0</xdr:row>
      <xdr:rowOff>0</xdr:rowOff>
    </xdr:from>
    <xdr:to>
      <xdr:col>1</xdr:col>
      <xdr:colOff>3713400</xdr:colOff>
      <xdr:row>1</xdr:row>
      <xdr:rowOff>2550</xdr:rowOff>
    </xdr:to>
    <mc:AlternateContent xmlns:mc="http://schemas.openxmlformats.org/markup-compatibility/2006" xmlns:sle15="http://schemas.microsoft.com/office/drawing/2012/slicer">
      <mc:Choice Requires="sle15">
        <xdr:graphicFrame macro="">
          <xdr:nvGraphicFramePr>
            <xdr:cNvPr id="8" name="Viewer">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Viewer"/>
            </a:graphicData>
          </a:graphic>
        </xdr:graphicFrame>
      </mc:Choice>
      <mc:Fallback xmlns="">
        <xdr:sp macro="" textlink="">
          <xdr:nvSpPr>
            <xdr:cNvPr id="0" name=""/>
            <xdr:cNvSpPr>
              <a:spLocks noTextEdit="1"/>
            </xdr:cNvSpPr>
          </xdr:nvSpPr>
          <xdr:spPr>
            <a:xfrm>
              <a:off x="2400300" y="0"/>
              <a:ext cx="1656000" cy="936000"/>
            </a:xfrm>
            <a:prstGeom prst="rect">
              <a:avLst/>
            </a:prstGeom>
            <a:solidFill>
              <a:prstClr val="white"/>
            </a:solidFill>
            <a:ln w="1">
              <a:solidFill>
                <a:prstClr val="green"/>
              </a:solidFill>
            </a:ln>
          </xdr:spPr>
          <xdr:txBody>
            <a:bodyPr vertOverflow="clip" horzOverflow="clip"/>
            <a:lstStyle/>
            <a:p>
              <a:r>
                <a:rPr lang="nb-NO"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3724275</xdr:colOff>
      <xdr:row>0</xdr:row>
      <xdr:rowOff>0</xdr:rowOff>
    </xdr:from>
    <xdr:to>
      <xdr:col>2</xdr:col>
      <xdr:colOff>913050</xdr:colOff>
      <xdr:row>1</xdr:row>
      <xdr:rowOff>2550</xdr:rowOff>
    </xdr:to>
    <mc:AlternateContent xmlns:mc="http://schemas.openxmlformats.org/markup-compatibility/2006" xmlns:sle15="http://schemas.microsoft.com/office/drawing/2012/slicer">
      <mc:Choice Requires="sle15">
        <xdr:graphicFrame macro="">
          <xdr:nvGraphicFramePr>
            <xdr:cNvPr id="9" name="Flag">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Flag"/>
            </a:graphicData>
          </a:graphic>
        </xdr:graphicFrame>
      </mc:Choice>
      <mc:Fallback xmlns="">
        <xdr:sp macro="" textlink="">
          <xdr:nvSpPr>
            <xdr:cNvPr id="0" name=""/>
            <xdr:cNvSpPr>
              <a:spLocks noTextEdit="1"/>
            </xdr:cNvSpPr>
          </xdr:nvSpPr>
          <xdr:spPr>
            <a:xfrm>
              <a:off x="4067175" y="0"/>
              <a:ext cx="1656000" cy="936000"/>
            </a:xfrm>
            <a:prstGeom prst="rect">
              <a:avLst/>
            </a:prstGeom>
            <a:solidFill>
              <a:prstClr val="white"/>
            </a:solidFill>
            <a:ln w="1">
              <a:solidFill>
                <a:prstClr val="green"/>
              </a:solidFill>
            </a:ln>
          </xdr:spPr>
          <xdr:txBody>
            <a:bodyPr vertOverflow="clip" horzOverflow="clip"/>
            <a:lstStyle/>
            <a:p>
              <a:r>
                <a:rPr lang="nb-NO"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923925</xdr:colOff>
      <xdr:row>0</xdr:row>
      <xdr:rowOff>0</xdr:rowOff>
    </xdr:from>
    <xdr:to>
      <xdr:col>3</xdr:col>
      <xdr:colOff>1398825</xdr:colOff>
      <xdr:row>1</xdr:row>
      <xdr:rowOff>2550</xdr:rowOff>
    </xdr:to>
    <mc:AlternateContent xmlns:mc="http://schemas.openxmlformats.org/markup-compatibility/2006" xmlns:sle15="http://schemas.microsoft.com/office/drawing/2012/slicer">
      <mc:Choice Requires="sle15">
        <xdr:graphicFrame macro="">
          <xdr:nvGraphicFramePr>
            <xdr:cNvPr id="10" name="Reviewed">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Reviewed"/>
            </a:graphicData>
          </a:graphic>
        </xdr:graphicFrame>
      </mc:Choice>
      <mc:Fallback xmlns="">
        <xdr:sp macro="" textlink="">
          <xdr:nvSpPr>
            <xdr:cNvPr id="0" name=""/>
            <xdr:cNvSpPr>
              <a:spLocks noTextEdit="1"/>
            </xdr:cNvSpPr>
          </xdr:nvSpPr>
          <xdr:spPr>
            <a:xfrm>
              <a:off x="5734050" y="0"/>
              <a:ext cx="1656000" cy="936000"/>
            </a:xfrm>
            <a:prstGeom prst="rect">
              <a:avLst/>
            </a:prstGeom>
            <a:solidFill>
              <a:prstClr val="white"/>
            </a:solidFill>
            <a:ln w="1">
              <a:solidFill>
                <a:prstClr val="green"/>
              </a:solidFill>
            </a:ln>
          </xdr:spPr>
          <xdr:txBody>
            <a:bodyPr vertOverflow="clip" horzOverflow="clip"/>
            <a:lstStyle/>
            <a:p>
              <a:r>
                <a:rPr lang="nb-NO"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14</xdr:col>
          <xdr:colOff>1724025</xdr:colOff>
          <xdr:row>0</xdr:row>
          <xdr:rowOff>152400</xdr:rowOff>
        </xdr:from>
        <xdr:to>
          <xdr:col>16</xdr:col>
          <xdr:colOff>247650</xdr:colOff>
          <xdr:row>0</xdr:row>
          <xdr:rowOff>800100</xdr:rowOff>
        </xdr:to>
        <xdr:sp macro="" textlink="">
          <xdr:nvSpPr>
            <xdr:cNvPr id="1026" name="Open_viewer"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00000000-0016-0000-0000-000000000000}" autoFormatId="16" applyNumberFormats="0" applyBorderFormats="0" applyFontFormats="0" applyPatternFormats="0" applyAlignmentFormats="0" applyWidthHeightFormats="0">
  <queryTableRefresh nextId="43" unboundColumnsRight="12">
    <queryTableFields count="20">
      <queryTableField id="37" name="ID" tableColumnId="19"/>
      <queryTableField id="6" name="Folder Path" tableColumnId="3"/>
      <queryTableField id="14" name="filename" tableColumnId="9"/>
      <queryTableField id="12" name="timestamp_V" tableColumnId="7"/>
      <queryTableField id="18" name="TriggerID" tableColumnId="12"/>
      <queryTableField id="24" name="Severity" tableColumnId="1"/>
      <queryTableField id="25" name="Module" tableColumnId="2"/>
      <queryTableField id="26" name="Cause" tableColumnId="4"/>
      <queryTableField id="22" dataBound="0" tableColumnId="15"/>
      <queryTableField id="23" dataBound="0" tableColumnId="16"/>
      <queryTableField id="31" dataBound="0" tableColumnId="5"/>
      <queryTableField id="36" dataBound="0" tableColumnId="6"/>
      <queryTableField id="35" dataBound="0" tableColumnId="8"/>
      <queryTableField id="41" dataBound="0" tableColumnId="21"/>
      <queryTableField id="40" dataBound="0" tableColumnId="20"/>
      <queryTableField id="39" dataBound="0" tableColumnId="11"/>
      <queryTableField id="42" dataBound="0" tableColumnId="13"/>
      <queryTableField id="34" dataBound="0" tableColumnId="10"/>
      <queryTableField id="33" dataBound="0" tableColumnId="17"/>
      <queryTableField id="32" dataBound="0"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dule" xr10:uid="{81796F6D-3150-4C5E-9000-A91B8DEF6082}" sourceName="Module">
  <extLst>
    <x:ext xmlns:x15="http://schemas.microsoft.com/office/spreadsheetml/2010/11/main" uri="{2F2917AC-EB37-4324-AD4E-5DD8C200BD13}">
      <x15:tableSlicerCache tableId="1"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verity" xr10:uid="{00A8A09C-7FD2-4C98-B387-242F69EF6927}" sourceName="Severity">
  <extLst>
    <x:ext xmlns:x15="http://schemas.microsoft.com/office/spreadsheetml/2010/11/main" uri="{2F2917AC-EB37-4324-AD4E-5DD8C200BD13}">
      <x15:tableSlicerCache tableId="1" column="1"/>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iewer" xr10:uid="{34275DE1-F8BD-40F1-8476-798FECEB8787}" sourceName="Viewer">
  <extLst>
    <x:ext xmlns:x15="http://schemas.microsoft.com/office/spreadsheetml/2010/11/main" uri="{2F2917AC-EB37-4324-AD4E-5DD8C200BD13}">
      <x15:tableSlicerCache tableId="1" column="6"/>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lag" xr10:uid="{94538C81-E532-48CE-9EDF-D1F9F1865CEB}" sourceName="Flag">
  <extLst>
    <x:ext xmlns:x15="http://schemas.microsoft.com/office/spreadsheetml/2010/11/main" uri="{2F2917AC-EB37-4324-AD4E-5DD8C200BD13}">
      <x15:tableSlicerCache tableId="1" column="10"/>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viewed" xr10:uid="{2ED10DCD-9760-4064-8E88-41CC71A9898C}" sourceName="Reviewed">
  <extLst>
    <x:ext xmlns:x15="http://schemas.microsoft.com/office/spreadsheetml/2010/11/main" uri="{2F2917AC-EB37-4324-AD4E-5DD8C200BD13}">
      <x15:tableSlicerCache tableId="1" column="1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dule" xr10:uid="{6A8370F0-3146-4BCA-B885-613170B0993F}" cache="Slicer_Module" caption="Module" columnCount="4" style="SlicerStyleOther1" rowHeight="241300"/>
  <slicer name="Severity" xr10:uid="{CFE5DD73-3269-4BD6-80D7-90576A3D4D38}" cache="Slicer_Severity" caption="Severity" columnCount="3" rowHeight="241300"/>
  <slicer name="Viewer" xr10:uid="{18A98E9E-0383-4CCD-9828-1460AF98299A}" cache="Slicer_Viewer" caption="Viewer" columnCount="2" style="SlicerStyleLight6" rowHeight="241300"/>
  <slicer name="Flag" xr10:uid="{CAEBCFBC-F740-4E20-9515-E4C516B366D5}" cache="Slicer_Flag" caption="Flag" columnCount="2" style="SlicerStyleLight2" rowHeight="241300"/>
  <slicer name="Reviewed" xr10:uid="{979DCDF3-62DE-4C0E-AA85-98A58ED3941E}" cache="Slicer_Reviewed" caption="Reviewed" columnCount="2" style="SlicerStyleLight6"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ECF7E1-D4D6-4A42-89A5-BAB514042237}" name="Triggers" displayName="Triggers" ref="A2:T13" tableType="queryTable" totalsRowShown="0" dataDxfId="19">
  <autoFilter ref="A2:T13" xr:uid="{A8BBA13F-316D-41CD-B54A-8FC0D6D0FF4C}"/>
  <sortState ref="A3:T13">
    <sortCondition ref="A2:A13"/>
  </sortState>
  <tableColumns count="20">
    <tableColumn id="19" xr3:uid="{160C569C-94F8-4252-9DD1-93EB5369ED36}" uniqueName="19" name="ID" queryTableFieldId="37"/>
    <tableColumn id="3" xr3:uid="{85A04688-4BF6-4141-B9A3-F82C367DBF1D}" uniqueName="3" name="Folder Path" queryTableFieldId="6" dataDxfId="18"/>
    <tableColumn id="9" xr3:uid="{CE132F62-B0CF-4775-AF2F-C4EBEA485E2D}" uniqueName="9" name="filename" queryTableFieldId="14" dataDxfId="17"/>
    <tableColumn id="7" xr3:uid="{6B025028-9BAE-4868-A2CF-EC8EC09BC714}" uniqueName="7" name="timestamp_V" queryTableFieldId="12" dataDxfId="16"/>
    <tableColumn id="12" xr3:uid="{0C27A955-1B40-4D90-BA54-3A7FD81E1C5E}" uniqueName="12" name="TriggerID" queryTableFieldId="18" dataDxfId="15"/>
    <tableColumn id="1" xr3:uid="{20900C93-5697-4EF0-953B-C6671F29B8F6}" uniqueName="1" name="Severity" queryTableFieldId="24" dataDxfId="14"/>
    <tableColumn id="2" xr3:uid="{C9BD16D2-BF69-40D9-A0C5-E9410DFE504E}" uniqueName="2" name="Module" queryTableFieldId="25" dataDxfId="13"/>
    <tableColumn id="4" xr3:uid="{658F0495-4F12-4CB6-B043-4CAEE3C4F85C}" uniqueName="4" name="Cause" queryTableFieldId="26" dataDxfId="12"/>
    <tableColumn id="15" xr3:uid="{4E5931EC-829B-40B3-A792-F1700C622287}" uniqueName="15" name="Video" queryTableFieldId="22" dataDxfId="11" dataCellStyle="Hyperlink">
      <calculatedColumnFormula>IF(EXACT(Triggers[[#This Row],[filename]],C2),"",HYPERLINK(CONCATENATE("file:",Triggers[[#This Row],[Folder Path]],"video\",Triggers[[#This Row],[filename]],".avi"),Triggers[[#This Row],[filename]]))</calculatedColumnFormula>
    </tableColumn>
    <tableColumn id="16" xr3:uid="{AEA2307A-7107-4EF6-A21B-669C7C89692D}" uniqueName="16" name="Log" queryTableFieldId="23" dataDxfId="10" dataCellStyle="Hyperlink">
      <calculatedColumnFormula>IF(EXACT(Triggers[[#This Row],[filename]],C2),"",HYPERLINK(CONCATENATE("file:",Triggers[[#This Row],[Folder Path]],Triggers[[#This Row],[filename]],".log"),"log"))</calculatedColumnFormula>
    </tableColumn>
    <tableColumn id="5" xr3:uid="{536E3648-C0DD-49A8-8D08-D6262EDB3E82}" uniqueName="5" name="1st" queryTableFieldId="31" dataDxfId="9">
      <calculatedColumnFormula>IF(EXACT(Triggers[[#This Row],[filename]],C2),"--'--","1st")</calculatedColumnFormula>
    </tableColumn>
    <tableColumn id="6" xr3:uid="{AB4D06E0-C0B1-4A6F-A3B6-6A63D3F8ECC4}" uniqueName="6" name="Viewer" queryTableFieldId="36" dataDxfId="8"/>
    <tableColumn id="8" xr3:uid="{18FAA89E-800A-4754-8A88-6CA2D05A4B25}" uniqueName="8" name="Viewer Notes" queryTableFieldId="35" dataDxfId="7"/>
    <tableColumn id="21" xr3:uid="{365ED22D-3A77-473D-A689-BDFAE9F674C9}" uniqueName="21" name="Issue ID" queryTableFieldId="41" dataDxfId="6"/>
    <tableColumn id="20" xr3:uid="{A6359D11-FB33-464B-A4BC-7312699E7022}" uniqueName="20" name="Issue Description" queryTableFieldId="40" dataDxfId="5"/>
    <tableColumn id="11" xr3:uid="{363969F5-86C8-4AA5-B46E-5FC14653A62E}" uniqueName="11" name="JIRA" queryTableFieldId="39" dataDxfId="4" dataCellStyle="Hyperlink"/>
    <tableColumn id="13" xr3:uid="{AC76821F-25A4-4331-BBA7-DD16DA18D454}" uniqueName="13" name="Fixed" queryTableFieldId="42" dataCellStyle="Normal"/>
    <tableColumn id="10" xr3:uid="{228678C3-0DB9-4F5A-966B-1EE36A9B3D57}" uniqueName="10" name="Flag" queryTableFieldId="34" dataDxfId="3"/>
    <tableColumn id="17" xr3:uid="{D05DC5F6-1EE7-4243-83E5-9E06F9DE6F5D}" uniqueName="17" name="Reviewed" queryTableFieldId="33" dataDxfId="2"/>
    <tableColumn id="18" xr3:uid="{17E58D78-9C0F-4EC8-8A49-D6CF89E8D1BA}" uniqueName="18" name="Review Notes" queryTableFieldId="32" dataDxfId="1"/>
  </tableColumns>
  <tableStyleInfo name="TableStyleLight9"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BBE4AEC-56E5-4708-81E1-079142D30D53}" name="Issues" displayName="Issues" ref="A1:F4" totalsRowShown="0">
  <autoFilter ref="A1:F4" xr:uid="{D29CE76B-AA79-46E4-9586-1293B4A4CC6E}"/>
  <tableColumns count="6">
    <tableColumn id="1" xr3:uid="{D03CB285-633B-47A0-A211-3FF9EB0F05D4}" name="ID"/>
    <tableColumn id="2" xr3:uid="{0431B012-7C90-41E8-ADC0-2BFB189304B1}" name="Description"/>
    <tableColumn id="5" xr3:uid="{BF664B87-6E41-458D-82C0-4EB39B901F98}" name="Module"/>
    <tableColumn id="3" xr3:uid="{329E8296-A352-445D-BAB4-50080C639F9A}" name="JIRA"/>
    <tableColumn id="4" xr3:uid="{A5A65B3D-947C-4C66-8B3E-E54D44CAEA55}" name="JIRA URL" dataDxfId="0" dataCellStyle="Hyperlink">
      <calculatedColumnFormula>IF(Issues[[#This Row],[JIRA]]="","",HYPERLINK(CONCATENATE("http://jira/browse/",Issues[JIRA]),Issues[JIRA]))</calculatedColumnFormula>
    </tableColumn>
    <tableColumn id="6" xr3:uid="{D177A639-17FB-48EA-964A-B3069E97BEDF}" name="Fixed_in_Marke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2CB4F3-8C80-4A22-939C-C3BB850FF65E}" name="Viper_Folder" displayName="Viper_Folder" ref="A1:A2" totalsRowShown="0">
  <autoFilter ref="A1:A2" xr:uid="{5F20ED9C-C3B3-4F89-8F4C-DA4006E4D255}"/>
  <tableColumns count="1">
    <tableColumn id="1" xr3:uid="{08BF2B15-AFF3-40A6-BEE1-FCE29562580A}" name="Viper_Folder">
      <calculatedColumnFormula>LEFT(CELL("filename"), FIND("[", CELL("filename"),1)-1) &amp; "Sample_data"</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13825A1-6709-4FF0-8B2E-9CF784CB5F9D}" name="Trigger_Details_Folder" displayName="Trigger_Details_Folder" ref="A21:A22" totalsRowShown="0" dataCellStyle="Normal">
  <autoFilter ref="A21:A22" xr:uid="{65CA1604-5D64-4DED-828B-CFDD6ADEB73F}"/>
  <tableColumns count="1">
    <tableColumn id="1" xr3:uid="{24C1749E-BAAC-4428-B8DB-67B3232A434E}" name="Trigger_Details_Folder"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1DDC4-B87D-4625-B036-46AB4C2DC7D5}">
  <sheetPr codeName="Sheet1"/>
  <dimension ref="A1:W41"/>
  <sheetViews>
    <sheetView showGridLines="0" tabSelected="1" topLeftCell="E1" workbookViewId="0">
      <pane ySplit="2" topLeftCell="A3" activePane="bottomLeft" state="frozen"/>
      <selection pane="bottomLeft" activeCell="L3" sqref="L3"/>
    </sheetView>
  </sheetViews>
  <sheetFormatPr defaultRowHeight="15" x14ac:dyDescent="0.25"/>
  <cols>
    <col min="1" max="1" width="5.140625" bestFit="1" customWidth="1"/>
    <col min="2" max="2" width="67" customWidth="1"/>
    <col min="3" max="3" width="17.7109375" customWidth="1"/>
    <col min="4" max="4" width="22" customWidth="1"/>
    <col min="5" max="5" width="37.7109375" bestFit="1" customWidth="1"/>
    <col min="6" max="6" width="10.5703125" bestFit="1" customWidth="1"/>
    <col min="7" max="7" width="10.28515625" bestFit="1" customWidth="1"/>
    <col min="8" max="8" width="31.28515625" bestFit="1" customWidth="1"/>
    <col min="9" max="9" width="17.7109375" bestFit="1" customWidth="1"/>
    <col min="10" max="10" width="6.28515625" bestFit="1" customWidth="1"/>
    <col min="11" max="11" width="5.85546875" customWidth="1"/>
    <col min="12" max="12" width="13.85546875" bestFit="1" customWidth="1"/>
    <col min="13" max="13" width="15.5703125" bestFit="1" customWidth="1"/>
    <col min="14" max="14" width="10.140625" bestFit="1" customWidth="1"/>
    <col min="15" max="15" width="36.140625" style="1" bestFit="1" customWidth="1"/>
    <col min="16" max="16" width="8" style="1" bestFit="1" customWidth="1"/>
    <col min="17" max="17" width="8.140625" style="1" bestFit="1" customWidth="1"/>
    <col min="18" max="18" width="6.85546875" style="1" bestFit="1" customWidth="1"/>
    <col min="19" max="19" width="12.140625" style="1" bestFit="1" customWidth="1"/>
    <col min="20" max="20" width="15.7109375" style="1" bestFit="1" customWidth="1"/>
    <col min="21" max="21" width="12.140625" style="3" bestFit="1" customWidth="1"/>
    <col min="22" max="22" width="15.7109375" style="3" bestFit="1" customWidth="1"/>
    <col min="23" max="23" width="35.42578125" style="1" customWidth="1"/>
    <col min="24" max="24" width="74.7109375" bestFit="1" customWidth="1"/>
  </cols>
  <sheetData>
    <row r="1" spans="1:23" ht="73.5" customHeight="1" x14ac:dyDescent="0.25">
      <c r="O1"/>
      <c r="P1"/>
      <c r="Q1"/>
      <c r="R1"/>
      <c r="S1" s="14" t="s">
        <v>77</v>
      </c>
      <c r="T1" s="14"/>
      <c r="U1" s="15">
        <f>MAX(Triggers[Issue ID])</f>
        <v>3</v>
      </c>
      <c r="V1" s="2"/>
      <c r="W1"/>
    </row>
    <row r="2" spans="1:23" x14ac:dyDescent="0.25">
      <c r="A2" t="s">
        <v>22</v>
      </c>
      <c r="B2" t="s">
        <v>0</v>
      </c>
      <c r="C2" t="s">
        <v>2</v>
      </c>
      <c r="D2" t="s">
        <v>1</v>
      </c>
      <c r="E2" t="s">
        <v>5</v>
      </c>
      <c r="F2" t="s">
        <v>8</v>
      </c>
      <c r="G2" t="s">
        <v>9</v>
      </c>
      <c r="H2" t="s">
        <v>10</v>
      </c>
      <c r="I2" t="s">
        <v>6</v>
      </c>
      <c r="J2" t="s">
        <v>7</v>
      </c>
      <c r="K2" t="s">
        <v>16</v>
      </c>
      <c r="L2" t="s">
        <v>17</v>
      </c>
      <c r="M2" t="s">
        <v>18</v>
      </c>
      <c r="N2" t="s">
        <v>69</v>
      </c>
      <c r="O2" t="s">
        <v>70</v>
      </c>
      <c r="P2" t="s">
        <v>65</v>
      </c>
      <c r="Q2" t="s">
        <v>85</v>
      </c>
      <c r="R2" s="8" t="s">
        <v>19</v>
      </c>
      <c r="S2" s="8" t="s">
        <v>20</v>
      </c>
      <c r="T2" t="s">
        <v>21</v>
      </c>
      <c r="U2"/>
      <c r="V2"/>
      <c r="W2"/>
    </row>
    <row r="3" spans="1:23" x14ac:dyDescent="0.25">
      <c r="A3">
        <v>1</v>
      </c>
      <c r="B3" s="4" t="s">
        <v>79</v>
      </c>
      <c r="C3" s="4" t="s">
        <v>23</v>
      </c>
      <c r="D3" s="4" t="s">
        <v>24</v>
      </c>
      <c r="E3" s="4" t="s">
        <v>25</v>
      </c>
      <c r="F3" s="4" t="s">
        <v>11</v>
      </c>
      <c r="G3" s="4" t="s">
        <v>14</v>
      </c>
      <c r="H3" s="4" t="s">
        <v>15</v>
      </c>
      <c r="I3" s="5" t="str">
        <f>IF(EXACT(Triggers[[#This Row],[filename]],C2),"",HYPERLINK(CONCATENATE("file:",Triggers[[#This Row],[Folder Path]],"video\",Triggers[[#This Row],[filename]],".avi"),Triggers[[#This Row],[filename]]))</f>
        <v>20180511_15-11-53</v>
      </c>
      <c r="J3" s="5" t="str">
        <f>IF(EXACT(Triggers[[#This Row],[filename]],C2),"",HYPERLINK(CONCATENATE("file:",Triggers[[#This Row],[Folder Path]],Triggers[[#This Row],[filename]],".log"),"log"))</f>
        <v>log</v>
      </c>
      <c r="K3" s="6" t="str">
        <f>IF(EXACT(Triggers[[#This Row],[filename]],C2),"--'--","1st")</f>
        <v>1st</v>
      </c>
      <c r="L3" s="4" t="s">
        <v>87</v>
      </c>
      <c r="M3" s="4"/>
      <c r="N3" s="7">
        <v>1</v>
      </c>
      <c r="O3" s="16"/>
      <c r="P3" s="17"/>
      <c r="Q3"/>
      <c r="R3" s="7" t="s">
        <v>45</v>
      </c>
      <c r="S3" s="7"/>
      <c r="T3" s="4"/>
      <c r="U3"/>
      <c r="V3"/>
      <c r="W3"/>
    </row>
    <row r="4" spans="1:23" x14ac:dyDescent="0.25">
      <c r="A4">
        <v>2</v>
      </c>
      <c r="B4" s="4" t="s">
        <v>80</v>
      </c>
      <c r="C4" s="4" t="s">
        <v>26</v>
      </c>
      <c r="D4" s="4" t="s">
        <v>33</v>
      </c>
      <c r="E4" s="4" t="s">
        <v>3</v>
      </c>
      <c r="F4" s="4" t="s">
        <v>11</v>
      </c>
      <c r="G4" s="4" t="s">
        <v>14</v>
      </c>
      <c r="H4" s="4" t="s">
        <v>15</v>
      </c>
      <c r="I4" s="5" t="str">
        <f>IF(EXACT(Triggers[[#This Row],[filename]],C3),"",HYPERLINK(CONCATENATE("file:",Triggers[[#This Row],[Folder Path]],"video\",Triggers[[#This Row],[filename]],".avi"),Triggers[[#This Row],[filename]]))</f>
        <v>20180511_15-54-32</v>
      </c>
      <c r="J4" s="5" t="str">
        <f>IF(EXACT(Triggers[[#This Row],[filename]],C3),"",HYPERLINK(CONCATENATE("file:",Triggers[[#This Row],[Folder Path]],Triggers[[#This Row],[filename]],".log"),"log"))</f>
        <v>log</v>
      </c>
      <c r="K4" s="6" t="str">
        <f>IF(EXACT(Triggers[[#This Row],[filename]],C3),"--'--","1st")</f>
        <v>1st</v>
      </c>
      <c r="L4" s="4" t="s">
        <v>87</v>
      </c>
      <c r="M4" s="4"/>
      <c r="N4" s="7">
        <v>1</v>
      </c>
      <c r="O4" s="16"/>
      <c r="P4" s="17"/>
      <c r="Q4"/>
      <c r="R4" s="7" t="s">
        <v>45</v>
      </c>
      <c r="S4" s="7"/>
      <c r="T4" s="4"/>
      <c r="U4"/>
      <c r="V4"/>
      <c r="W4"/>
    </row>
    <row r="5" spans="1:23" x14ac:dyDescent="0.25">
      <c r="A5">
        <v>3</v>
      </c>
      <c r="B5" s="4" t="s">
        <v>80</v>
      </c>
      <c r="C5" s="4" t="s">
        <v>26</v>
      </c>
      <c r="D5" s="4" t="s">
        <v>27</v>
      </c>
      <c r="E5" s="4" t="s">
        <v>28</v>
      </c>
      <c r="F5" s="4" t="s">
        <v>11</v>
      </c>
      <c r="G5" s="4" t="s">
        <v>14</v>
      </c>
      <c r="H5" s="4" t="s">
        <v>15</v>
      </c>
      <c r="I5" s="5" t="str">
        <f>IF(EXACT(Triggers[[#This Row],[filename]],C4),"",HYPERLINK(CONCATENATE("file:",Triggers[[#This Row],[Folder Path]],"video\",Triggers[[#This Row],[filename]],".avi"),Triggers[[#This Row],[filename]]))</f>
        <v/>
      </c>
      <c r="J5" s="5" t="str">
        <f>IF(EXACT(Triggers[[#This Row],[filename]],C4),"",HYPERLINK(CONCATENATE("file:",Triggers[[#This Row],[Folder Path]],Triggers[[#This Row],[filename]],".log"),"log"))</f>
        <v/>
      </c>
      <c r="K5" s="6" t="str">
        <f>IF(EXACT(Triggers[[#This Row],[filename]],C4),"--'--","1st")</f>
        <v>--'--</v>
      </c>
      <c r="L5" s="4" t="s">
        <v>87</v>
      </c>
      <c r="M5" s="4"/>
      <c r="N5" s="7"/>
      <c r="O5" s="16"/>
      <c r="P5" s="17"/>
      <c r="Q5"/>
      <c r="R5" s="7"/>
      <c r="S5" s="7"/>
      <c r="T5" s="4"/>
      <c r="U5"/>
      <c r="V5"/>
      <c r="W5"/>
    </row>
    <row r="6" spans="1:23" x14ac:dyDescent="0.25">
      <c r="A6">
        <v>4</v>
      </c>
      <c r="B6" s="4" t="s">
        <v>80</v>
      </c>
      <c r="C6" s="4" t="s">
        <v>26</v>
      </c>
      <c r="D6" s="4" t="s">
        <v>31</v>
      </c>
      <c r="E6" s="4" t="s">
        <v>32</v>
      </c>
      <c r="F6" s="4" t="s">
        <v>11</v>
      </c>
      <c r="G6" s="4" t="s">
        <v>14</v>
      </c>
      <c r="H6" s="4" t="s">
        <v>15</v>
      </c>
      <c r="I6" s="5" t="str">
        <f>IF(EXACT(Triggers[[#This Row],[filename]],C5),"",HYPERLINK(CONCATENATE("file:",Triggers[[#This Row],[Folder Path]],"video\",Triggers[[#This Row],[filename]],".avi"),Triggers[[#This Row],[filename]]))</f>
        <v/>
      </c>
      <c r="J6" s="5" t="str">
        <f>IF(EXACT(Triggers[[#This Row],[filename]],C5),"",HYPERLINK(CONCATENATE("file:",Triggers[[#This Row],[Folder Path]],Triggers[[#This Row],[filename]],".log"),"log"))</f>
        <v/>
      </c>
      <c r="K6" s="6" t="str">
        <f>IF(EXACT(Triggers[[#This Row],[filename]],C5),"--'--","1st")</f>
        <v>--'--</v>
      </c>
      <c r="L6" s="4" t="s">
        <v>87</v>
      </c>
      <c r="M6" s="4"/>
      <c r="N6" s="7">
        <v>2</v>
      </c>
      <c r="O6" s="16"/>
      <c r="P6" s="17"/>
      <c r="Q6"/>
      <c r="R6" s="7" t="s">
        <v>45</v>
      </c>
      <c r="S6" s="7"/>
      <c r="T6" s="4"/>
      <c r="U6"/>
      <c r="V6"/>
      <c r="W6"/>
    </row>
    <row r="7" spans="1:23" x14ac:dyDescent="0.25">
      <c r="A7">
        <v>5</v>
      </c>
      <c r="B7" s="4" t="s">
        <v>80</v>
      </c>
      <c r="C7" s="4" t="s">
        <v>26</v>
      </c>
      <c r="D7" s="4" t="s">
        <v>34</v>
      </c>
      <c r="E7" s="4" t="s">
        <v>35</v>
      </c>
      <c r="F7" s="4" t="s">
        <v>11</v>
      </c>
      <c r="G7" s="4" t="s">
        <v>14</v>
      </c>
      <c r="H7" s="4" t="s">
        <v>15</v>
      </c>
      <c r="I7" s="5" t="str">
        <f>IF(EXACT(Triggers[[#This Row],[filename]],C6),"",HYPERLINK(CONCATENATE("file:",Triggers[[#This Row],[Folder Path]],"video\",Triggers[[#This Row],[filename]],".avi"),Triggers[[#This Row],[filename]]))</f>
        <v/>
      </c>
      <c r="J7" s="5" t="str">
        <f>IF(EXACT(Triggers[[#This Row],[filename]],C6),"",HYPERLINK(CONCATENATE("file:",Triggers[[#This Row],[Folder Path]],Triggers[[#This Row],[filename]],".log"),"log"))</f>
        <v/>
      </c>
      <c r="K7" s="6" t="str">
        <f>IF(EXACT(Triggers[[#This Row],[filename]],C6),"--'--","1st")</f>
        <v>--'--</v>
      </c>
      <c r="L7" s="4" t="s">
        <v>87</v>
      </c>
      <c r="M7" s="4"/>
      <c r="N7" s="7">
        <v>3</v>
      </c>
      <c r="O7" s="16"/>
      <c r="P7" s="17"/>
      <c r="Q7"/>
      <c r="R7" s="7" t="s">
        <v>45</v>
      </c>
      <c r="S7" s="7"/>
      <c r="T7" s="4"/>
      <c r="U7"/>
      <c r="V7"/>
      <c r="W7"/>
    </row>
    <row r="8" spans="1:23" x14ac:dyDescent="0.25">
      <c r="A8">
        <v>6</v>
      </c>
      <c r="B8" s="4" t="s">
        <v>80</v>
      </c>
      <c r="C8" s="4" t="s">
        <v>26</v>
      </c>
      <c r="D8" s="4" t="s">
        <v>29</v>
      </c>
      <c r="E8" s="4" t="s">
        <v>30</v>
      </c>
      <c r="F8" s="4" t="s">
        <v>11</v>
      </c>
      <c r="G8" s="4" t="s">
        <v>14</v>
      </c>
      <c r="H8" s="4" t="s">
        <v>15</v>
      </c>
      <c r="I8" s="5" t="str">
        <f>IF(EXACT(Triggers[[#This Row],[filename]],C7),"",HYPERLINK(CONCATENATE("file:",Triggers[[#This Row],[Folder Path]],"video\",Triggers[[#This Row],[filename]],".avi"),Triggers[[#This Row],[filename]]))</f>
        <v/>
      </c>
      <c r="J8" s="5" t="str">
        <f>IF(EXACT(Triggers[[#This Row],[filename]],C7),"",HYPERLINK(CONCATENATE("file:",Triggers[[#This Row],[Folder Path]],Triggers[[#This Row],[filename]],".log"),"log"))</f>
        <v/>
      </c>
      <c r="K8" s="6" t="str">
        <f>IF(EXACT(Triggers[[#This Row],[filename]],C7),"--'--","1st")</f>
        <v>--'--</v>
      </c>
      <c r="L8" s="4" t="s">
        <v>87</v>
      </c>
      <c r="M8" s="4"/>
      <c r="N8" s="7"/>
      <c r="O8" s="16"/>
      <c r="P8" s="17"/>
      <c r="Q8"/>
      <c r="R8" s="7"/>
      <c r="S8" s="7"/>
      <c r="T8" s="4"/>
      <c r="U8"/>
      <c r="V8"/>
      <c r="W8"/>
    </row>
    <row r="9" spans="1:23" x14ac:dyDescent="0.25">
      <c r="A9">
        <v>7</v>
      </c>
      <c r="B9" s="4" t="s">
        <v>81</v>
      </c>
      <c r="C9" s="4" t="s">
        <v>36</v>
      </c>
      <c r="D9" s="4" t="s">
        <v>37</v>
      </c>
      <c r="E9" s="4" t="s">
        <v>4</v>
      </c>
      <c r="F9" s="4" t="s">
        <v>11</v>
      </c>
      <c r="G9" s="4" t="s">
        <v>12</v>
      </c>
      <c r="H9" s="4" t="s">
        <v>13</v>
      </c>
      <c r="I9" s="5" t="str">
        <f>IF(EXACT(Triggers[[#This Row],[filename]],C8),"",HYPERLINK(CONCATENATE("file:",Triggers[[#This Row],[Folder Path]],"video\",Triggers[[#This Row],[filename]],".avi"),Triggers[[#This Row],[filename]]))</f>
        <v>20180511_15-58-58</v>
      </c>
      <c r="J9" s="5" t="str">
        <f>IF(EXACT(Triggers[[#This Row],[filename]],C8),"",HYPERLINK(CONCATENATE("file:",Triggers[[#This Row],[Folder Path]],Triggers[[#This Row],[filename]],".log"),"log"))</f>
        <v>log</v>
      </c>
      <c r="K9" s="6" t="str">
        <f>IF(EXACT(Triggers[[#This Row],[filename]],C8),"--'--","1st")</f>
        <v>1st</v>
      </c>
      <c r="L9" s="4" t="s">
        <v>87</v>
      </c>
      <c r="M9" s="4"/>
      <c r="N9" s="7">
        <v>3</v>
      </c>
      <c r="O9" s="16"/>
      <c r="P9" s="17"/>
      <c r="Q9"/>
      <c r="R9" s="7" t="s">
        <v>45</v>
      </c>
      <c r="S9" s="7"/>
      <c r="T9" s="4"/>
      <c r="U9"/>
      <c r="V9"/>
      <c r="W9"/>
    </row>
    <row r="10" spans="1:23" x14ac:dyDescent="0.25">
      <c r="A10">
        <v>8</v>
      </c>
      <c r="B10" s="4" t="s">
        <v>82</v>
      </c>
      <c r="C10" s="4" t="s">
        <v>38</v>
      </c>
      <c r="D10" s="4" t="s">
        <v>39</v>
      </c>
      <c r="E10" s="4" t="s">
        <v>4</v>
      </c>
      <c r="F10" s="4" t="s">
        <v>11</v>
      </c>
      <c r="G10" s="4" t="s">
        <v>12</v>
      </c>
      <c r="H10" s="4" t="s">
        <v>13</v>
      </c>
      <c r="I10" s="5" t="str">
        <f>IF(EXACT(Triggers[[#This Row],[filename]],C9),"",HYPERLINK(CONCATENATE("file:",Triggers[[#This Row],[Folder Path]],"video\",Triggers[[#This Row],[filename]],".avi"),Triggers[[#This Row],[filename]]))</f>
        <v>20180511_16-20-20</v>
      </c>
      <c r="J10" s="5" t="str">
        <f>IF(EXACT(Triggers[[#This Row],[filename]],C9),"",HYPERLINK(CONCATENATE("file:",Triggers[[#This Row],[Folder Path]],Triggers[[#This Row],[filename]],".log"),"log"))</f>
        <v>log</v>
      </c>
      <c r="K10" s="6" t="str">
        <f>IF(EXACT(Triggers[[#This Row],[filename]],C9),"--'--","1st")</f>
        <v>1st</v>
      </c>
      <c r="L10" s="4" t="s">
        <v>87</v>
      </c>
      <c r="M10" s="4" t="s">
        <v>88</v>
      </c>
      <c r="N10" s="7"/>
      <c r="O10" s="16"/>
      <c r="P10" s="17"/>
      <c r="Q10"/>
      <c r="R10" s="7"/>
      <c r="S10" s="7"/>
      <c r="T10" s="4"/>
      <c r="U10"/>
      <c r="V10"/>
      <c r="W10"/>
    </row>
    <row r="11" spans="1:23" x14ac:dyDescent="0.25">
      <c r="A11">
        <v>9</v>
      </c>
      <c r="B11" s="4" t="s">
        <v>83</v>
      </c>
      <c r="C11" s="4" t="s">
        <v>40</v>
      </c>
      <c r="D11" s="4" t="s">
        <v>42</v>
      </c>
      <c r="E11" s="4" t="s">
        <v>4</v>
      </c>
      <c r="F11" s="4" t="s">
        <v>11</v>
      </c>
      <c r="G11" s="4" t="s">
        <v>12</v>
      </c>
      <c r="H11" s="4" t="s">
        <v>13</v>
      </c>
      <c r="I11" s="5" t="str">
        <f>IF(EXACT(Triggers[[#This Row],[filename]],C10),"",HYPERLINK(CONCATENATE("file:",Triggers[[#This Row],[Folder Path]],"video\",Triggers[[#This Row],[filename]],".avi"),Triggers[[#This Row],[filename]]))</f>
        <v>20180511_16-25-29</v>
      </c>
      <c r="J11" s="5" t="str">
        <f>IF(EXACT(Triggers[[#This Row],[filename]],C10),"",HYPERLINK(CONCATENATE("file:",Triggers[[#This Row],[Folder Path]],Triggers[[#This Row],[filename]],".log"),"log"))</f>
        <v>log</v>
      </c>
      <c r="K11" s="6" t="str">
        <f>IF(EXACT(Triggers[[#This Row],[filename]],C10),"--'--","1st")</f>
        <v>1st</v>
      </c>
      <c r="L11" s="4"/>
      <c r="M11" s="4"/>
      <c r="N11" s="7"/>
      <c r="O11" s="16"/>
      <c r="P11" s="17"/>
      <c r="Q11"/>
      <c r="R11" s="7"/>
      <c r="S11" s="7"/>
      <c r="T11" s="4"/>
      <c r="U11"/>
      <c r="V11"/>
      <c r="W11"/>
    </row>
    <row r="12" spans="1:23" x14ac:dyDescent="0.25">
      <c r="A12">
        <v>10</v>
      </c>
      <c r="B12" s="4" t="s">
        <v>83</v>
      </c>
      <c r="C12" s="4" t="s">
        <v>40</v>
      </c>
      <c r="D12" s="4" t="s">
        <v>41</v>
      </c>
      <c r="E12" s="4" t="s">
        <v>4</v>
      </c>
      <c r="F12" s="4" t="s">
        <v>11</v>
      </c>
      <c r="G12" s="4" t="s">
        <v>12</v>
      </c>
      <c r="H12" s="4" t="s">
        <v>13</v>
      </c>
      <c r="I12" s="5" t="str">
        <f>IF(EXACT(Triggers[[#This Row],[filename]],C11),"",HYPERLINK(CONCATENATE("file:",Triggers[[#This Row],[Folder Path]],"video\",Triggers[[#This Row],[filename]],".avi"),Triggers[[#This Row],[filename]]))</f>
        <v/>
      </c>
      <c r="J12" s="5" t="str">
        <f>IF(EXACT(Triggers[[#This Row],[filename]],C11),"",HYPERLINK(CONCATENATE("file:",Triggers[[#This Row],[Folder Path]],Triggers[[#This Row],[filename]],".log"),"log"))</f>
        <v/>
      </c>
      <c r="K12" s="6" t="str">
        <f>IF(EXACT(Triggers[[#This Row],[filename]],C11),"--'--","1st")</f>
        <v>--'--</v>
      </c>
      <c r="L12" s="4"/>
      <c r="M12" s="4"/>
      <c r="N12" s="7"/>
      <c r="O12" s="16"/>
      <c r="P12" s="17"/>
      <c r="Q12"/>
      <c r="R12" s="7"/>
      <c r="S12" s="7"/>
      <c r="T12" s="4"/>
      <c r="U12"/>
      <c r="V12"/>
      <c r="W12"/>
    </row>
    <row r="13" spans="1:23" x14ac:dyDescent="0.25">
      <c r="A13">
        <v>11</v>
      </c>
      <c r="B13" s="4" t="s">
        <v>84</v>
      </c>
      <c r="C13" s="4" t="s">
        <v>43</v>
      </c>
      <c r="D13" s="4" t="s">
        <v>44</v>
      </c>
      <c r="E13" s="4" t="s">
        <v>4</v>
      </c>
      <c r="F13" s="4" t="s">
        <v>11</v>
      </c>
      <c r="G13" s="4" t="s">
        <v>12</v>
      </c>
      <c r="H13" s="4" t="s">
        <v>13</v>
      </c>
      <c r="I13" s="5" t="str">
        <f>IF(EXACT(Triggers[[#This Row],[filename]],C12),"",HYPERLINK(CONCATENATE("file:",Triggers[[#This Row],[Folder Path]],"video\",Triggers[[#This Row],[filename]],".avi"),Triggers[[#This Row],[filename]]))</f>
        <v>20180511_16-28-11</v>
      </c>
      <c r="J13" s="5" t="str">
        <f>IF(EXACT(Triggers[[#This Row],[filename]],C12),"",HYPERLINK(CONCATENATE("file:",Triggers[[#This Row],[Folder Path]],Triggers[[#This Row],[filename]],".log"),"log"))</f>
        <v>log</v>
      </c>
      <c r="K13" s="6" t="str">
        <f>IF(EXACT(Triggers[[#This Row],[filename]],C12),"--'--","1st")</f>
        <v>1st</v>
      </c>
      <c r="L13" s="4"/>
      <c r="M13" s="4"/>
      <c r="N13" s="7"/>
      <c r="O13" s="16"/>
      <c r="P13" s="17"/>
      <c r="Q13"/>
      <c r="R13" s="7"/>
      <c r="S13" s="7"/>
      <c r="T13" s="4"/>
      <c r="U13"/>
      <c r="V13"/>
      <c r="W13"/>
    </row>
    <row r="14" spans="1:23" x14ac:dyDescent="0.25">
      <c r="W14"/>
    </row>
    <row r="15" spans="1:23" x14ac:dyDescent="0.25">
      <c r="W15"/>
    </row>
    <row r="16" spans="1:23" x14ac:dyDescent="0.25">
      <c r="W16"/>
    </row>
    <row r="17" spans="9:23" x14ac:dyDescent="0.25">
      <c r="W17"/>
    </row>
    <row r="18" spans="9:23" x14ac:dyDescent="0.25">
      <c r="W18"/>
    </row>
    <row r="19" spans="9:23" x14ac:dyDescent="0.25">
      <c r="W19"/>
    </row>
    <row r="20" spans="9:23" x14ac:dyDescent="0.25">
      <c r="I20" s="9"/>
      <c r="W20"/>
    </row>
    <row r="21" spans="9:23" x14ac:dyDescent="0.25">
      <c r="W21"/>
    </row>
    <row r="22" spans="9:23" x14ac:dyDescent="0.25">
      <c r="W22"/>
    </row>
    <row r="23" spans="9:23" x14ac:dyDescent="0.25">
      <c r="W23"/>
    </row>
    <row r="24" spans="9:23" x14ac:dyDescent="0.25">
      <c r="W24"/>
    </row>
    <row r="25" spans="9:23" x14ac:dyDescent="0.25">
      <c r="W25"/>
    </row>
    <row r="26" spans="9:23" x14ac:dyDescent="0.25">
      <c r="W26"/>
    </row>
    <row r="27" spans="9:23" x14ac:dyDescent="0.25">
      <c r="W27"/>
    </row>
    <row r="28" spans="9:23" x14ac:dyDescent="0.25">
      <c r="W28"/>
    </row>
    <row r="29" spans="9:23" x14ac:dyDescent="0.25">
      <c r="W29"/>
    </row>
    <row r="30" spans="9:23" x14ac:dyDescent="0.25">
      <c r="W30"/>
    </row>
    <row r="31" spans="9:23" x14ac:dyDescent="0.25">
      <c r="W31"/>
    </row>
    <row r="32" spans="9:23" x14ac:dyDescent="0.25">
      <c r="W32"/>
    </row>
    <row r="33" spans="23:23" x14ac:dyDescent="0.25">
      <c r="W33"/>
    </row>
    <row r="34" spans="23:23" x14ac:dyDescent="0.25">
      <c r="W34"/>
    </row>
    <row r="35" spans="23:23" x14ac:dyDescent="0.25">
      <c r="W35"/>
    </row>
    <row r="36" spans="23:23" x14ac:dyDescent="0.25">
      <c r="W36"/>
    </row>
    <row r="37" spans="23:23" x14ac:dyDescent="0.25">
      <c r="W37"/>
    </row>
    <row r="38" spans="23:23" x14ac:dyDescent="0.25">
      <c r="W38"/>
    </row>
    <row r="39" spans="23:23" x14ac:dyDescent="0.25">
      <c r="W39"/>
    </row>
    <row r="40" spans="23:23" x14ac:dyDescent="0.25">
      <c r="W40"/>
    </row>
    <row r="41" spans="23:23" x14ac:dyDescent="0.25">
      <c r="W41"/>
    </row>
  </sheetData>
  <sheetProtection autoFilter="0"/>
  <conditionalFormatting sqref="G14:H9972">
    <cfRule type="expression" dxfId="33" priority="1">
      <formula>$H14 = "Error"</formula>
    </cfRule>
  </conditionalFormatting>
  <conditionalFormatting sqref="U14:U9972">
    <cfRule type="expression" dxfId="32" priority="4">
      <formula xml:space="preserve"> AND($U14 &lt;&gt;"",$U14 &lt;&gt; "Flag")</formula>
    </cfRule>
  </conditionalFormatting>
  <conditionalFormatting sqref="A14:T9972">
    <cfRule type="expression" dxfId="31" priority="5">
      <formula xml:space="preserve"> AND($O14 &lt;&gt;"",$O14 &lt;&gt; "Viewer")</formula>
    </cfRule>
  </conditionalFormatting>
  <conditionalFormatting sqref="A3:F13">
    <cfRule type="expression" dxfId="30" priority="31">
      <formula>$F3 = "Error"</formula>
    </cfRule>
  </conditionalFormatting>
  <conditionalFormatting sqref="A3:H13">
    <cfRule type="expression" dxfId="29" priority="33">
      <formula>$F3 = "Error"</formula>
    </cfRule>
  </conditionalFormatting>
  <conditionalFormatting sqref="A3:R13">
    <cfRule type="expression" dxfId="28" priority="35">
      <formula xml:space="preserve"> AND($R3 &lt;&gt;"",$R3 &lt;&gt; "Flag")</formula>
    </cfRule>
  </conditionalFormatting>
  <conditionalFormatting sqref="A3:Q13">
    <cfRule type="expression" dxfId="27" priority="37">
      <formula xml:space="preserve"> AND($L3 &lt;&gt;"",$L3 &lt;&gt; "Viewer")</formula>
    </cfRule>
  </conditionalFormatting>
  <conditionalFormatting sqref="A3:T13">
    <cfRule type="expression" dxfId="26" priority="39">
      <formula>$K3 = "1st"</formula>
    </cfRule>
    <cfRule type="expression" dxfId="25" priority="40">
      <formula xml:space="preserve"> AND($S3 &lt;&gt;"",$S3 &lt;&gt; "Reviewed")</formula>
    </cfRule>
  </conditionalFormatting>
  <conditionalFormatting sqref="A14:T9972">
    <cfRule type="expression" dxfId="24" priority="46">
      <formula xml:space="preserve"> AND($U14 &lt;&gt;"",$U14 &lt;&gt; "Flag")</formula>
    </cfRule>
  </conditionalFormatting>
  <conditionalFormatting sqref="A14:V9972">
    <cfRule type="expression" dxfId="23" priority="61">
      <formula>$N14 = "1st"</formula>
    </cfRule>
    <cfRule type="expression" dxfId="22" priority="62">
      <formula xml:space="preserve"> AND($V14 &lt;&gt;"",$V14 &lt;&gt; "Reviewed")</formula>
    </cfRule>
  </conditionalFormatting>
  <conditionalFormatting sqref="W42:W10000">
    <cfRule type="expression" dxfId="21" priority="65">
      <formula>$N14 = "1st"</formula>
    </cfRule>
    <cfRule type="expression" dxfId="20" priority="66">
      <formula xml:space="preserve"> AND($V14 &lt;&gt;"",$V14 &lt;&gt; "Reviewed")</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Open_viewer">
          <controlPr defaultSize="0" autoLine="0" r:id="rId5">
            <anchor moveWithCells="1">
              <from>
                <xdr:col>14</xdr:col>
                <xdr:colOff>1724025</xdr:colOff>
                <xdr:row>0</xdr:row>
                <xdr:rowOff>152400</xdr:rowOff>
              </from>
              <to>
                <xdr:col>16</xdr:col>
                <xdr:colOff>247650</xdr:colOff>
                <xdr:row>0</xdr:row>
                <xdr:rowOff>800100</xdr:rowOff>
              </to>
            </anchor>
          </controlPr>
        </control>
      </mc:Choice>
      <mc:Fallback>
        <control shapeId="1026" r:id="rId4" name="Open_viewer"/>
      </mc:Fallback>
    </mc:AlternateContent>
  </controls>
  <tableParts count="1">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E63DE-73DA-43B8-B91F-3B67F8F4A57D}">
  <sheetPr codeName="Sheet2"/>
  <dimension ref="A1:F4"/>
  <sheetViews>
    <sheetView workbookViewId="0">
      <selection activeCell="F2" sqref="F2:F4"/>
    </sheetView>
  </sheetViews>
  <sheetFormatPr defaultRowHeight="15" x14ac:dyDescent="0.25"/>
  <cols>
    <col min="1" max="1" width="5.85546875" customWidth="1"/>
    <col min="2" max="2" width="36.140625" bestFit="1" customWidth="1"/>
    <col min="3" max="3" width="10.28515625" bestFit="1" customWidth="1"/>
    <col min="4" max="4" width="8" bestFit="1" customWidth="1"/>
    <col min="5" max="5" width="10.85546875" bestFit="1" customWidth="1"/>
    <col min="6" max="6" width="18.42578125" bestFit="1" customWidth="1"/>
  </cols>
  <sheetData>
    <row r="1" spans="1:6" x14ac:dyDescent="0.25">
      <c r="A1" t="s">
        <v>22</v>
      </c>
      <c r="B1" t="s">
        <v>64</v>
      </c>
      <c r="C1" t="s">
        <v>9</v>
      </c>
      <c r="D1" t="s">
        <v>65</v>
      </c>
      <c r="E1" t="s">
        <v>66</v>
      </c>
      <c r="F1" t="s">
        <v>78</v>
      </c>
    </row>
    <row r="2" spans="1:6" x14ac:dyDescent="0.25">
      <c r="A2">
        <v>1</v>
      </c>
      <c r="B2" t="s">
        <v>67</v>
      </c>
      <c r="C2" t="s">
        <v>72</v>
      </c>
      <c r="D2" t="s">
        <v>68</v>
      </c>
      <c r="E2" s="9" t="str">
        <f>IF(Issues[[#This Row],[JIRA]]="","",HYPERLINK(CONCATENATE("http://jira/browse/",Issues[JIRA]),Issues[JIRA]))</f>
        <v>ATS-123</v>
      </c>
      <c r="F2" t="s">
        <v>86</v>
      </c>
    </row>
    <row r="3" spans="1:6" x14ac:dyDescent="0.25">
      <c r="A3">
        <v>2</v>
      </c>
      <c r="B3" t="s">
        <v>71</v>
      </c>
      <c r="C3" t="s">
        <v>72</v>
      </c>
      <c r="D3" t="s">
        <v>75</v>
      </c>
      <c r="E3" s="9" t="str">
        <f>IF(Issues[[#This Row],[JIRA]]="","",HYPERLINK(CONCATENATE("http://jira/browse/",Issues[JIRA]),Issues[JIRA]))</f>
        <v>ATS-150</v>
      </c>
      <c r="F3" t="s">
        <v>86</v>
      </c>
    </row>
    <row r="4" spans="1:6" x14ac:dyDescent="0.25">
      <c r="A4">
        <v>3</v>
      </c>
      <c r="B4" t="s">
        <v>73</v>
      </c>
      <c r="C4" t="s">
        <v>74</v>
      </c>
      <c r="D4" t="s">
        <v>76</v>
      </c>
      <c r="E4" s="9" t="str">
        <f>IF(Issues[[#This Row],[JIRA]]="","",HYPERLINK(CONCATENATE("http://jira/browse/",Issues[JIRA]),Issues[JIRA]))</f>
        <v>ATS-153</v>
      </c>
      <c r="F4" t="s">
        <v>86</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9DB986-A249-49CC-A2FA-2E60B2A6C76A}">
  <sheetPr codeName="Sheet3"/>
  <dimension ref="A1:C27"/>
  <sheetViews>
    <sheetView workbookViewId="0">
      <selection activeCell="A3" sqref="A3"/>
    </sheetView>
  </sheetViews>
  <sheetFormatPr defaultRowHeight="15" x14ac:dyDescent="0.25"/>
  <cols>
    <col min="1" max="1" width="144.7109375" bestFit="1" customWidth="1"/>
    <col min="3" max="3" width="131.28515625" bestFit="1" customWidth="1"/>
  </cols>
  <sheetData>
    <row r="1" spans="1:3" x14ac:dyDescent="0.25">
      <c r="A1" t="s">
        <v>46</v>
      </c>
    </row>
    <row r="2" spans="1:3" x14ac:dyDescent="0.25">
      <c r="A2" t="str">
        <f ca="1">LEFT(CELL("filename"), FIND("[", CELL("filename"),1)-1) &amp; "Sample_data"</f>
        <v>C:\Richard\Personal\Code\Github\viper_viewer\Sample_data</v>
      </c>
    </row>
    <row r="4" spans="1:3" x14ac:dyDescent="0.25">
      <c r="A4" s="11" t="s">
        <v>57</v>
      </c>
    </row>
    <row r="5" spans="1:3" x14ac:dyDescent="0.25">
      <c r="A5" t="s">
        <v>49</v>
      </c>
    </row>
    <row r="6" spans="1:3" x14ac:dyDescent="0.25">
      <c r="A6" t="s">
        <v>50</v>
      </c>
    </row>
    <row r="7" spans="1:3" x14ac:dyDescent="0.25">
      <c r="A7" t="s">
        <v>52</v>
      </c>
    </row>
    <row r="8" spans="1:3" x14ac:dyDescent="0.25">
      <c r="A8" s="13" t="s">
        <v>51</v>
      </c>
    </row>
    <row r="9" spans="1:3" x14ac:dyDescent="0.25">
      <c r="A9" t="s">
        <v>53</v>
      </c>
    </row>
    <row r="10" spans="1:3" x14ac:dyDescent="0.25">
      <c r="A10" s="13"/>
    </row>
    <row r="11" spans="1:3" x14ac:dyDescent="0.25">
      <c r="A11" s="11" t="s">
        <v>58</v>
      </c>
      <c r="C11" s="11"/>
    </row>
    <row r="12" spans="1:3" x14ac:dyDescent="0.25">
      <c r="A12" t="s">
        <v>54</v>
      </c>
    </row>
    <row r="13" spans="1:3" x14ac:dyDescent="0.25">
      <c r="A13" s="12" t="str">
        <f ca="1">LEFT(CELL("filename"), FIND("[", CELL("filename"),1)-1) &amp; "Sample_data"</f>
        <v>C:\Richard\Personal\Code\Github\viper_viewer\Sample_data</v>
      </c>
    </row>
    <row r="15" spans="1:3" x14ac:dyDescent="0.25">
      <c r="A15" t="s">
        <v>55</v>
      </c>
    </row>
    <row r="16" spans="1:3" x14ac:dyDescent="0.25">
      <c r="A16" s="10" t="s">
        <v>56</v>
      </c>
    </row>
    <row r="17" spans="1:1" x14ac:dyDescent="0.25">
      <c r="A17" t="s">
        <v>59</v>
      </c>
    </row>
    <row r="18" spans="1:1" x14ac:dyDescent="0.25">
      <c r="A18" t="s">
        <v>60</v>
      </c>
    </row>
    <row r="21" spans="1:1" x14ac:dyDescent="0.25">
      <c r="A21" t="s">
        <v>47</v>
      </c>
    </row>
    <row r="22" spans="1:1" x14ac:dyDescent="0.25">
      <c r="A22" t="s">
        <v>48</v>
      </c>
    </row>
    <row r="24" spans="1:1" x14ac:dyDescent="0.25">
      <c r="A24" s="11" t="s">
        <v>57</v>
      </c>
    </row>
    <row r="25" spans="1:1" x14ac:dyDescent="0.25">
      <c r="A25" t="s">
        <v>61</v>
      </c>
    </row>
    <row r="26" spans="1:1" x14ac:dyDescent="0.25">
      <c r="A26" t="s">
        <v>62</v>
      </c>
    </row>
    <row r="27" spans="1:1" x14ac:dyDescent="0.25">
      <c r="A27" t="s">
        <v>63</v>
      </c>
    </row>
  </sheetData>
  <pageMargins left="0.7" right="0.7" top="0.75" bottom="0.75" header="0.3" footer="0.3"/>
  <pageSetup paperSize="9" orientation="portrait" r:id="rId1"/>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23F1EAF-3ADA-4AC3-8867-219C1C7D2F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Report</vt:lpstr>
      <vt:lpstr>Issues</vt:lpstr>
      <vt:lpstr>Configuration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2018-05-29T14:50:58Z</dcterms:modified>
</cp:coreProperties>
</file>